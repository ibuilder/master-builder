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rrections" sheetId="1" state="visible" r:id="rId3"/>
    <sheet name="Assumptions" sheetId="2" state="visible" r:id="rId4"/>
    <sheet name="Dev Budget" sheetId="3" state="visible" r:id="rId5"/>
    <sheet name="Pro Forma" sheetId="4" state="visible" r:id="rId6"/>
    <sheet name="Retur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<sst xmlns="http://schemas.openxmlformats.org/spreadsheetml/2006/main" count="203" uniqueCount="170">
  <si>
    <t xml:space="preserve">1900–2000 Hempstead Tpke — Corrected Feasibility Model</t>
  </si>
  <si>
    <t xml:space="preserve">Retail (former Home Depot / Modell's) → indoor-agriculture white-box landlord, East Meadow, NY 11554. Rebuilt from the 2021 capstone model using the master-builder skill.</t>
  </si>
  <si>
    <t xml:space="preserve">#</t>
  </si>
  <si>
    <t xml:space="preserve">What was wrong in the original model</t>
  </si>
  <si>
    <t xml:space="preserve">Correction applied here</t>
  </si>
  <si>
    <t xml:space="preserve">1</t>
  </si>
  <si>
    <t xml:space="preserve">Two conflicting NOI figures; operating tab added OpEx to income (NOI ≈ rent + opex ≈ $8.4M) instead of subtracting it.</t>
  </si>
  <si>
    <t xml:space="preserve">Single NOI = EGI − non-reimbursable costs, used everywhere (DSCR, exit, returns).</t>
  </si>
  <si>
    <t xml:space="preserve">2</t>
  </si>
  <si>
    <t xml:space="preserve">~$1.05M of itemized soft costs (architect, MEP, energy/ag consultants, expeditor, T&amp;B) never flowed into Sources &amp; Uses.</t>
  </si>
  <si>
    <t xml:space="preserve">Full $1,072,500 soft-cost schedule restored and footed into the development budget.</t>
  </si>
  <si>
    <t xml:space="preserve">3</t>
  </si>
  <si>
    <t xml:space="preserve">Wind = $5.8M (33% of hard cost) for ~334 MWh/yr (~2% of on-site energy) — ~38× worse $/kWh than solar.</t>
  </si>
  <si>
    <t xml:space="preserve">Wind removed in base case (VE move); toggle in Assumptions!B15 to switch it back on.</t>
  </si>
  <si>
    <t xml:space="preserve">4</t>
  </si>
  <si>
    <t xml:space="preserve">Transfer/closing modeled at 10% of purchase (~$1.57M) — high for NY commercial.</t>
  </si>
  <si>
    <t xml:space="preserve">Transfer/closing set to a 4% lever (Assumptions!B5); adjust to your title/tax quote.</t>
  </si>
  <si>
    <t xml:space="preserve">5</t>
  </si>
  <si>
    <t xml:space="preserve">Zero vacancy modeled forever for an unproven, single-class tenant base.</t>
  </si>
  <si>
    <t xml:space="preserve">Vacancy set to 10% base (lever); stress grid runs 5–20%.</t>
  </si>
  <si>
    <t xml:space="preserve">6</t>
  </si>
  <si>
    <t xml:space="preserve">Depreciation (non-cash) sat inside OpEx, suppressing NOI. Insurance labeled 5% but computed ~0.4%. Staff 25 vs 10 in cells.</t>
  </si>
  <si>
    <t xml:space="preserve">Non-cash items removed from NOI; modeled NNN with clean non-reimbursable landlord costs.</t>
  </si>
  <si>
    <t xml:space="preserve">7</t>
  </si>
  <si>
    <t xml:space="preserve">Per-tenant power printed as '$203,563/day'; building electric as '$1.0M/mo' — order-of-magnitude unit errors.</t>
  </si>
  <si>
    <t xml:space="preserve">Modeled NNN: tenants carry grow-power directly. Tenant power economics flagged as the binding risk (see note).</t>
  </si>
  <si>
    <t xml:space="preserve">8</t>
  </si>
  <si>
    <t xml:space="preserve">Exit at a 6.14% cap with no comparable market for indoor-ag real estate; demand assumed 5 solvent tenants.</t>
  </si>
  <si>
    <t xml:space="preserve">Exit cap kept as a lever; sensitivity stresses 5.5–7.5%. Demand risk documented below.</t>
  </si>
  <si>
    <t xml:space="preserve">The binding risk (why the business, not the building, is the question):</t>
  </si>
  <si>
    <t xml:space="preserve">The building conversion pencils once wind is cut and transfer normalized (see Returns). The real risk is tenant viability: indoor grow-lighting for 200,000 sf runs on the order of ~20M+ kWh/yr — at ~$0.10/kWh that is ~$2M+/yr of power the TENANT must cover from thin-margin leafy-green revenue. That unit-economics gap is exactly what bankrupted the operators named as target tenants (AeroFarms Ch.11 2023; Bowery ceased ops 2024; Plenty Ch.11 2025; AppHarvest 2023). De-risk demand before capital: secure anchor/off-take leases, then phase-build one PFAL to prove the tenant's real power bill.</t>
  </si>
  <si>
    <t xml:space="preserve">Assumptions &amp; Levers</t>
  </si>
  <si>
    <t xml:space="preserve">Blue = input · Yellow = key assumption to pressure-test · Black = formula</t>
  </si>
  <si>
    <t xml:space="preserve">ACQUISITION</t>
  </si>
  <si>
    <t xml:space="preserve">Purchase price (both parcels)</t>
  </si>
  <si>
    <t xml:space="preserve">2000 Tpke $12.74M + 1980 Tpke $3.0M</t>
  </si>
  <si>
    <t xml:space="preserve">Transfer &amp; closing (% of price)</t>
  </si>
  <si>
    <t xml:space="preserve">Original used 10% — high for NY commercial</t>
  </si>
  <si>
    <t xml:space="preserve">Legal &amp; due diligence</t>
  </si>
  <si>
    <t xml:space="preserve">Survey &amp; title</t>
  </si>
  <si>
    <t xml:space="preserve">HARD COSTS</t>
  </si>
  <si>
    <t xml:space="preserve">Re-roof to collection plane</t>
  </si>
  <si>
    <t xml:space="preserve">Demolition &amp; grading</t>
  </si>
  <si>
    <t xml:space="preserve">Sitework</t>
  </si>
  <si>
    <t xml:space="preserve">Solar array (roof + carport)</t>
  </si>
  <si>
    <t xml:space="preserve">Flag: $330/panel likely light 2–3× vs installed commercial</t>
  </si>
  <si>
    <t xml:space="preserve">Wind turbines (gross)</t>
  </si>
  <si>
    <t xml:space="preserve">1,161 vertical turbines</t>
  </si>
  <si>
    <t xml:space="preserve">Wind INCLUDE? (1=yes, 0=no)</t>
  </si>
  <si>
    <t xml:space="preserve">VE move: 0 removes wind (33% of hard cost, ~2% of energy)</t>
  </si>
  <si>
    <t xml:space="preserve">Battery storage (7 units)</t>
  </si>
  <si>
    <t xml:space="preserve">Rainwater tank &amp; system</t>
  </si>
  <si>
    <t xml:space="preserve">HVAC / pumping / filtration</t>
  </si>
  <si>
    <t xml:space="preserve">Electrical power upgrade</t>
  </si>
  <si>
    <t xml:space="preserve">Electrical lighting (common)</t>
  </si>
  <si>
    <t xml:space="preserve">Chiller</t>
  </si>
  <si>
    <t xml:space="preserve">Loading dock</t>
  </si>
  <si>
    <t xml:space="preserve">Architectural upgrades</t>
  </si>
  <si>
    <t xml:space="preserve">Produce market fit-out</t>
  </si>
  <si>
    <t xml:space="preserve">Hard-cost contingency (%)</t>
  </si>
  <si>
    <t xml:space="preserve">SOFT COSTS</t>
  </si>
  <si>
    <t xml:space="preserve">Architect</t>
  </si>
  <si>
    <t xml:space="preserve">Structural engineer</t>
  </si>
  <si>
    <t xml:space="preserve">Mechanical engineer</t>
  </si>
  <si>
    <t xml:space="preserve">Energy consultant</t>
  </si>
  <si>
    <t xml:space="preserve">Agriculture consultant</t>
  </si>
  <si>
    <t xml:space="preserve">DOB expeditor</t>
  </si>
  <si>
    <t xml:space="preserve">Testing &amp; balancing</t>
  </si>
  <si>
    <t xml:space="preserve">Design contingency (%)</t>
  </si>
  <si>
    <t xml:space="preserve">OTHER DEVELOPMENT</t>
  </si>
  <si>
    <t xml:space="preserve">Developer contingency (%)</t>
  </si>
  <si>
    <t xml:space="preserve">Construction period (years)</t>
  </si>
  <si>
    <t xml:space="preserve">FINANCING</t>
  </si>
  <si>
    <t xml:space="preserve">Loan-to-cost (%)</t>
  </si>
  <si>
    <t xml:space="preserve">Interest rate (%)</t>
  </si>
  <si>
    <t xml:space="preserve">Amortization (years)</t>
  </si>
  <si>
    <t xml:space="preserve">OPERATIONS (NNN white-box lease)</t>
  </si>
  <si>
    <t xml:space="preserve">Rentable SF (5 × 40,000)</t>
  </si>
  <si>
    <t xml:space="preserve">Rent ($/SF/month)</t>
  </si>
  <si>
    <t xml:space="preserve">approx $18.00/SF/yr</t>
  </si>
  <si>
    <t xml:space="preserve">Rent escalation (%/yr)</t>
  </si>
  <si>
    <t xml:space="preserve">Vacancy &amp; credit loss (%)</t>
  </si>
  <si>
    <t xml:space="preserve">Original used 0% — unrealistic for a new asset class</t>
  </si>
  <si>
    <t xml:space="preserve">Management fee (% of EGI)</t>
  </si>
  <si>
    <t xml:space="preserve">Reserves ($/SF/yr)</t>
  </si>
  <si>
    <t xml:space="preserve">Shell insurance ($/SF/yr)</t>
  </si>
  <si>
    <t xml:space="preserve">EXIT</t>
  </si>
  <si>
    <t xml:space="preserve">Exit cap rate (%)</t>
  </si>
  <si>
    <t xml:space="preserve">No comp market for indoor-ag; stress in Returns</t>
  </si>
  <si>
    <t xml:space="preserve">Sale cost (%)</t>
  </si>
  <si>
    <t xml:space="preserve">Operating hold (years)</t>
  </si>
  <si>
    <t xml:space="preserve">Development Budget — Sources &amp; Uses</t>
  </si>
  <si>
    <t xml:space="preserve">USES OF CAPITAL</t>
  </si>
  <si>
    <t xml:space="preserve">Acquisition</t>
  </si>
  <si>
    <t xml:space="preserve">Purchase price</t>
  </si>
  <si>
    <t xml:space="preserve">Transfer &amp; closing</t>
  </si>
  <si>
    <t xml:space="preserve">Subtotal — Acquisition</t>
  </si>
  <si>
    <t xml:space="preserve">Hard Costs</t>
  </si>
  <si>
    <t xml:space="preserve">Solar array</t>
  </si>
  <si>
    <t xml:space="preserve">Wind turbines (toggle)</t>
  </si>
  <si>
    <t xml:space="preserve">0 when wind switched off</t>
  </si>
  <si>
    <t xml:space="preserve">Battery storage</t>
  </si>
  <si>
    <t xml:space="preserve">Hard subtotal (pre-contingency)</t>
  </si>
  <si>
    <t xml:space="preserve">Hard-cost contingency</t>
  </si>
  <si>
    <t xml:space="preserve">Total Hard Costs</t>
  </si>
  <si>
    <t xml:space="preserve">Soft Costs</t>
  </si>
  <si>
    <t xml:space="preserve">Soft subtotal</t>
  </si>
  <si>
    <t xml:space="preserve">Design contingency</t>
  </si>
  <si>
    <t xml:space="preserve">Total Soft Costs</t>
  </si>
  <si>
    <t xml:space="preserve">Restored: original dropped ~$1.05M of this from S&amp;U</t>
  </si>
  <si>
    <t xml:space="preserve">Other Development</t>
  </si>
  <si>
    <t xml:space="preserve">Developer contingency</t>
  </si>
  <si>
    <t xml:space="preserve">Costs excl. financing carry</t>
  </si>
  <si>
    <t xml:space="preserve">SOURCES OF CAPITAL</t>
  </si>
  <si>
    <t xml:space="preserve">Loan (LTC × costs excl. carry)</t>
  </si>
  <si>
    <t xml:space="preserve">Sized on costs before carry</t>
  </si>
  <si>
    <t xml:space="preserve">Construction interest carry</t>
  </si>
  <si>
    <t xml:space="preserve">Avg 50% drawn over construction</t>
  </si>
  <si>
    <t xml:space="preserve">TOTAL DEVELOPMENT COST (TDC)</t>
  </si>
  <si>
    <t xml:space="preserve">Debt</t>
  </si>
  <si>
    <t xml:space="preserve">Equity</t>
  </si>
  <si>
    <t xml:space="preserve">Check: Sources = Uses</t>
  </si>
  <si>
    <t xml:space="preserve">Must equal 0</t>
  </si>
  <si>
    <t xml:space="preserve">Operating Pro Forma — NNN white-box landlord</t>
  </si>
  <si>
    <t xml:space="preserve">Year 0 acquisition · Year 1 construction · Years 2–11 operations · sale end of Year 11</t>
  </si>
  <si>
    <t xml:space="preserve">Year 0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</si>
  <si>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</si>
  <si>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</si>
  <si>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</si>
  <si>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</si>
  <si>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</si>
  <si>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Year 6</t>
  </si>
  <si>
    <t xml:space="preserve">Year 7</t>
  </si>
  <si>
    <t xml:space="preserve">Year 8</t>
  </si>
  <si>
    <t xml:space="preserve">Year 9</t>
  </si>
  <si>
    <t xml:space="preserve">Year 10</t>
  </si>
  <si>
    <t xml:space="preserve">Year 11</t>
  </si>
  <si>
    <t xml:space="preserve">Potential base rent</t>
  </si>
  <si>
    <t xml:space="preserve">Less: vacancy &amp; credit loss</t>
  </si>
  <si>
    <t xml:space="preserve">Effective Gross Income (EGI)</t>
  </si>
  <si>
    <t xml:space="preserve">Less: management fee</t>
  </si>
  <si>
    <t xml:space="preserve">Less: reserves</t>
  </si>
  <si>
    <t xml:space="preserve">Less: shell insurance</t>
  </si>
  <si>
    <t xml:space="preserve">Net Operating Income (NOI)</t>
  </si>
  <si>
    <t xml:space="preserve">Returns, Debt &amp; Sensitivity</t>
  </si>
  <si>
    <t xml:space="preserve">KEY METRICS</t>
  </si>
  <si>
    <t xml:space="preserve">Total Development Cost</t>
  </si>
  <si>
    <t xml:space="preserve">Loan</t>
  </si>
  <si>
    <t xml:space="preserve">Stabilized NOI (Year 2)</t>
  </si>
  <si>
    <t xml:space="preserve">Yield on Cost</t>
  </si>
  <si>
    <t xml:space="preserve">Compare to exit cap</t>
  </si>
  <si>
    <t xml:space="preserve">Exit cap rate</t>
  </si>
  <si>
    <t xml:space="preserve">Development spread</t>
  </si>
  <si>
    <t xml:space="preserve">&gt;150–250 bps is the compensation for development risk</t>
  </si>
  <si>
    <t xml:space="preserve">Annual debt service (PMT)</t>
  </si>
  <si>
    <t xml:space="preserve">DSCR (stabilized)</t>
  </si>
  <si>
    <t xml:space="preserve">Loan balance after 10 yrs</t>
  </si>
  <si>
    <t xml:space="preserve">Sale price (Yr11 NOI ÷ exit cap)</t>
  </si>
  <si>
    <t xml:space="preserve">Net sale proceeds</t>
  </si>
  <si>
    <t xml:space="preserve">CASH FLOW &amp; RETURNS</t>
  </si>
  <si>
    <t xml:space="preserve">Unlevered cash flow</t>
  </si>
  <si>
    <t xml:space="preserve">Unlevered IRR</t>
  </si>
  <si>
    <t xml:space="preserve">Levered cash flow (equity)</t>
  </si>
  <si>
    <t xml:space="preserve">Levered IRR</t>
  </si>
  <si>
    <t xml:space="preserve">Equity multiple (levered)</t>
  </si>
  <si>
    <t xml:space="preserve">Note: NNN structure — tenants carry power/water directly. Tenant grow-power economics are the binding risk (see Corrections).</t>
  </si>
  <si>
    <t xml:space="preserve">SENSITIVITY — Levered IRR</t>
  </si>
  <si>
    <t xml:space="preserve">Static grid computed at delivery from the base inputs — re-run if you change assumptions.</t>
  </si>
  <si>
    <t xml:space="preserve">Vacancy ↓ / Exit cap →</t>
  </si>
  <si>
    <t xml:space="preserve">Base case (10% vacancy, 6.14% exit) shown in the cash-flow block above.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</si>
</sst>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"/>
    <numFmt numFmtId="167" formatCode="0"/>
    <numFmt numFmtId="168" formatCode="0.00"/>
    <numFmt numFmtId="169" formatCode="#,##0"/>
    <numFmt numFmtId="170" formatCode="\$0.00"/>
    <numFmt numFmtId="171" formatCode="0.00\x"/>
    <numFmt numFmtId="172" formatCode="0.00%"/>
    <numFmt numFmtId="173" formatCode="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C6EFCE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62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42" hidden="false" customHeight="true" outlineLevel="0" collapsed="false">
      <c r="A4" s="4" t="s">
        <v>2</v>
      </c>
      <c r="B4" s="5" t="s">
        <v>3</v>
      </c>
      <c r="C4" s="5" t="s">
        <v>4</v>
      </c>
    </row>
    <row r="5" customFormat="false" ht="42" hidden="false" customHeight="true" outlineLevel="0" collapsed="false">
      <c r="A5" s="6" t="s">
        <v>5</v>
      </c>
      <c r="B5" s="7" t="s">
        <v>6</v>
      </c>
      <c r="C5" s="7" t="s">
        <v>7</v>
      </c>
    </row>
    <row r="6" customFormat="false" ht="42" hidden="false" customHeight="true" outlineLevel="0" collapsed="false">
      <c r="A6" s="6" t="s">
        <v>8</v>
      </c>
      <c r="B6" s="7" t="s">
        <v>9</v>
      </c>
      <c r="C6" s="7" t="s">
        <v>10</v>
      </c>
    </row>
    <row r="7" customFormat="false" ht="42" hidden="false" customHeight="true" outlineLevel="0" collapsed="false">
      <c r="A7" s="6" t="s">
        <v>11</v>
      </c>
      <c r="B7" s="7" t="s">
        <v>12</v>
      </c>
      <c r="C7" s="7" t="s">
        <v>13</v>
      </c>
    </row>
    <row r="8" customFormat="false" ht="42" hidden="false" customHeight="true" outlineLevel="0" collapsed="false">
      <c r="A8" s="6" t="s">
        <v>14</v>
      </c>
      <c r="B8" s="7" t="s">
        <v>15</v>
      </c>
      <c r="C8" s="7" t="s">
        <v>16</v>
      </c>
    </row>
    <row r="9" customFormat="false" ht="42" hidden="false" customHeight="true" outlineLevel="0" collapsed="false">
      <c r="A9" s="6" t="s">
        <v>17</v>
      </c>
      <c r="B9" s="7" t="s">
        <v>18</v>
      </c>
      <c r="C9" s="7" t="s">
        <v>19</v>
      </c>
    </row>
    <row r="10" customFormat="false" ht="42" hidden="false" customHeight="true" outlineLevel="0" collapsed="false">
      <c r="A10" s="6" t="s">
        <v>20</v>
      </c>
      <c r="B10" s="7" t="s">
        <v>21</v>
      </c>
      <c r="C10" s="7" t="s">
        <v>22</v>
      </c>
    </row>
    <row r="11" customFormat="false" ht="42" hidden="false" customHeight="true" outlineLevel="0" collapsed="false">
      <c r="A11" s="6" t="s">
        <v>23</v>
      </c>
      <c r="B11" s="7" t="s">
        <v>24</v>
      </c>
      <c r="C11" s="7" t="s">
        <v>25</v>
      </c>
    </row>
    <row r="12" customFormat="false" ht="42" hidden="false" customHeight="true" outlineLevel="0" collapsed="false">
      <c r="A12" s="6" t="s">
        <v>26</v>
      </c>
      <c r="B12" s="7" t="s">
        <v>27</v>
      </c>
      <c r="C12" s="7" t="s">
        <v>28</v>
      </c>
    </row>
    <row r="14" customFormat="false" ht="15" hidden="false" customHeight="true" outlineLevel="0" collapsed="false">
      <c r="A14" s="8" t="s">
        <v>29</v>
      </c>
    </row>
    <row r="15" customFormat="false" ht="15" hidden="false" customHeight="true" outlineLevel="0" collapsed="false">
      <c r="A15" s="9" t="s">
        <v>30</v>
      </c>
      <c r="B15" s="9"/>
      <c r="C15" s="9"/>
    </row>
    <row r="16" customFormat="false" ht="15" hidden="false" customHeight="true" outlineLevel="0" collapsed="false">
      <c r="A16" s="9"/>
      <c r="B16" s="9"/>
      <c r="C16" s="9"/>
    </row>
    <row r="17" customFormat="false" ht="15" hidden="false" customHeight="true" outlineLevel="0" collapsed="false">
      <c r="A17" s="9"/>
      <c r="B17" s="9"/>
      <c r="C17" s="9"/>
    </row>
    <row r="18" customFormat="false" ht="15" hidden="false" customHeight="true" outlineLevel="0" collapsed="false">
      <c r="A18" s="9"/>
      <c r="B18" s="9"/>
      <c r="C18" s="9"/>
    </row>
    <row r="19" customFormat="false" ht="15" hidden="false" customHeight="true" outlineLevel="0" collapsed="false">
      <c r="A19" s="9"/>
      <c r="B19" s="9"/>
      <c r="C19" s="9"/>
    </row>
  </sheetData>
  <mergeCells count="1">
    <mergeCell ref="A15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31</v>
      </c>
    </row>
    <row r="2" customFormat="false" ht="15" hidden="false" customHeight="true" outlineLevel="0" collapsed="false">
      <c r="A2" s="3" t="s">
        <v>32</v>
      </c>
    </row>
    <row r="4" customFormat="false" ht="15" hidden="false" customHeight="true" outlineLevel="0" collapsed="false">
      <c r="A4" s="10" t="s">
        <v>33</v>
      </c>
      <c r="B4" s="11"/>
      <c r="C4" s="11"/>
    </row>
    <row r="5" customFormat="false" ht="15" hidden="false" customHeight="true" outlineLevel="0" collapsed="false">
      <c r="A5" s="6" t="s">
        <v>34</v>
      </c>
      <c r="B5" s="12" t="n">
        <v>15744700</v>
      </c>
      <c r="C5" s="13" t="s">
        <v>35</v>
      </c>
    </row>
    <row r="6" customFormat="false" ht="15" hidden="false" customHeight="true" outlineLevel="0" collapsed="false">
      <c r="A6" s="6" t="s">
        <v>36</v>
      </c>
      <c r="B6" s="14" t="n">
        <v>0.04</v>
      </c>
      <c r="C6" s="13" t="s">
        <v>37</v>
      </c>
    </row>
    <row r="7" customFormat="false" ht="15" hidden="false" customHeight="true" outlineLevel="0" collapsed="false">
      <c r="A7" s="6" t="s">
        <v>38</v>
      </c>
      <c r="B7" s="12" t="n">
        <v>15000</v>
      </c>
    </row>
    <row r="8" customFormat="false" ht="15" hidden="false" customHeight="true" outlineLevel="0" collapsed="false">
      <c r="A8" s="6" t="s">
        <v>39</v>
      </c>
      <c r="B8" s="12" t="n">
        <v>20000</v>
      </c>
    </row>
    <row r="10" customFormat="false" ht="15" hidden="false" customHeight="true" outlineLevel="0" collapsed="false">
      <c r="A10" s="10" t="s">
        <v>40</v>
      </c>
      <c r="B10" s="11"/>
      <c r="C10" s="11"/>
    </row>
    <row r="11" customFormat="false" ht="15" hidden="false" customHeight="true" outlineLevel="0" collapsed="false">
      <c r="A11" s="6" t="s">
        <v>41</v>
      </c>
      <c r="B11" s="12" t="n">
        <v>25000</v>
      </c>
    </row>
    <row r="12" customFormat="false" ht="15" hidden="false" customHeight="true" outlineLevel="0" collapsed="false">
      <c r="A12" s="6" t="s">
        <v>42</v>
      </c>
      <c r="B12" s="12" t="n">
        <v>50000</v>
      </c>
    </row>
    <row r="13" customFormat="false" ht="15" hidden="false" customHeight="true" outlineLevel="0" collapsed="false">
      <c r="A13" s="6" t="s">
        <v>43</v>
      </c>
      <c r="B13" s="12" t="n">
        <v>25000</v>
      </c>
    </row>
    <row r="14" customFormat="false" ht="21.75" hidden="false" customHeight="true" outlineLevel="0" collapsed="false">
      <c r="A14" s="6" t="s">
        <v>44</v>
      </c>
      <c r="B14" s="12" t="n">
        <v>8249918</v>
      </c>
      <c r="C14" s="13" t="s">
        <v>45</v>
      </c>
    </row>
    <row r="15" customFormat="false" ht="15" hidden="false" customHeight="true" outlineLevel="0" collapsed="false">
      <c r="A15" s="6" t="s">
        <v>46</v>
      </c>
      <c r="B15" s="12" t="n">
        <v>5805000</v>
      </c>
      <c r="C15" s="13" t="s">
        <v>47</v>
      </c>
    </row>
    <row r="16" customFormat="false" ht="21.75" hidden="false" customHeight="true" outlineLevel="0" collapsed="false">
      <c r="A16" s="6" t="s">
        <v>48</v>
      </c>
      <c r="B16" s="15" t="n">
        <v>0</v>
      </c>
      <c r="C16" s="13" t="s">
        <v>49</v>
      </c>
    </row>
    <row r="17" customFormat="false" ht="15" hidden="false" customHeight="true" outlineLevel="0" collapsed="false">
      <c r="A17" s="6" t="s">
        <v>50</v>
      </c>
      <c r="B17" s="12" t="n">
        <v>105000</v>
      </c>
    </row>
    <row r="18" customFormat="false" ht="15" hidden="false" customHeight="true" outlineLevel="0" collapsed="false">
      <c r="A18" s="6" t="s">
        <v>51</v>
      </c>
      <c r="B18" s="12" t="n">
        <v>780000</v>
      </c>
    </row>
    <row r="19" customFormat="false" ht="15" hidden="false" customHeight="true" outlineLevel="0" collapsed="false">
      <c r="A19" s="6" t="s">
        <v>52</v>
      </c>
      <c r="B19" s="12" t="n">
        <v>50000</v>
      </c>
    </row>
    <row r="20" customFormat="false" ht="15" hidden="false" customHeight="true" outlineLevel="0" collapsed="false">
      <c r="A20" s="6" t="s">
        <v>53</v>
      </c>
      <c r="B20" s="12" t="n">
        <v>100000</v>
      </c>
    </row>
    <row r="21" customFormat="false" ht="15" hidden="false" customHeight="true" outlineLevel="0" collapsed="false">
      <c r="A21" s="6" t="s">
        <v>54</v>
      </c>
      <c r="B21" s="12" t="n">
        <v>15000</v>
      </c>
    </row>
    <row r="22" customFormat="false" ht="15" hidden="false" customHeight="true" outlineLevel="0" collapsed="false">
      <c r="A22" s="6" t="s">
        <v>55</v>
      </c>
      <c r="B22" s="12" t="n">
        <v>200000</v>
      </c>
    </row>
    <row r="23" customFormat="false" ht="15" hidden="false" customHeight="true" outlineLevel="0" collapsed="false">
      <c r="A23" s="6" t="s">
        <v>56</v>
      </c>
      <c r="B23" s="12" t="n">
        <v>40000</v>
      </c>
    </row>
    <row r="24" customFormat="false" ht="15" hidden="false" customHeight="true" outlineLevel="0" collapsed="false">
      <c r="A24" s="6" t="s">
        <v>57</v>
      </c>
      <c r="B24" s="12" t="n">
        <v>75000</v>
      </c>
    </row>
    <row r="25" customFormat="false" ht="15" hidden="false" customHeight="true" outlineLevel="0" collapsed="false">
      <c r="A25" s="6" t="s">
        <v>58</v>
      </c>
      <c r="B25" s="12" t="n">
        <v>325000</v>
      </c>
    </row>
    <row r="26" customFormat="false" ht="15" hidden="false" customHeight="true" outlineLevel="0" collapsed="false">
      <c r="A26" s="6" t="s">
        <v>59</v>
      </c>
      <c r="B26" s="14" t="n">
        <v>0.15</v>
      </c>
    </row>
    <row r="28" customFormat="false" ht="15" hidden="false" customHeight="true" outlineLevel="0" collapsed="false">
      <c r="A28" s="10" t="s">
        <v>60</v>
      </c>
      <c r="B28" s="11"/>
      <c r="C28" s="11"/>
    </row>
    <row r="29" customFormat="false" ht="15" hidden="false" customHeight="true" outlineLevel="0" collapsed="false">
      <c r="A29" s="6" t="s">
        <v>61</v>
      </c>
      <c r="B29" s="12" t="n">
        <v>350000</v>
      </c>
    </row>
    <row r="30" customFormat="false" ht="15" hidden="false" customHeight="true" outlineLevel="0" collapsed="false">
      <c r="A30" s="6" t="s">
        <v>62</v>
      </c>
      <c r="B30" s="12" t="n">
        <v>100000</v>
      </c>
    </row>
    <row r="31" customFormat="false" ht="15" hidden="false" customHeight="true" outlineLevel="0" collapsed="false">
      <c r="A31" s="6" t="s">
        <v>63</v>
      </c>
      <c r="B31" s="12" t="n">
        <v>100000</v>
      </c>
    </row>
    <row r="32" customFormat="false" ht="15" hidden="false" customHeight="true" outlineLevel="0" collapsed="false">
      <c r="A32" s="6" t="s">
        <v>64</v>
      </c>
      <c r="B32" s="12" t="n">
        <v>75000</v>
      </c>
    </row>
    <row r="33" customFormat="false" ht="15" hidden="false" customHeight="true" outlineLevel="0" collapsed="false">
      <c r="A33" s="6" t="s">
        <v>65</v>
      </c>
      <c r="B33" s="12" t="n">
        <v>125000</v>
      </c>
    </row>
    <row r="34" customFormat="false" ht="15" hidden="false" customHeight="true" outlineLevel="0" collapsed="false">
      <c r="A34" s="6" t="s">
        <v>66</v>
      </c>
      <c r="B34" s="12" t="n">
        <v>75000</v>
      </c>
    </row>
    <row r="35" customFormat="false" ht="15" hidden="false" customHeight="true" outlineLevel="0" collapsed="false">
      <c r="A35" s="6" t="s">
        <v>67</v>
      </c>
      <c r="B35" s="12" t="n">
        <v>150000</v>
      </c>
    </row>
    <row r="36" customFormat="false" ht="15" hidden="false" customHeight="true" outlineLevel="0" collapsed="false">
      <c r="A36" s="6" t="s">
        <v>68</v>
      </c>
      <c r="B36" s="14" t="n">
        <v>0.1</v>
      </c>
    </row>
    <row r="38" customFormat="false" ht="15" hidden="false" customHeight="true" outlineLevel="0" collapsed="false">
      <c r="A38" s="10" t="s">
        <v>69</v>
      </c>
      <c r="B38" s="11"/>
      <c r="C38" s="11"/>
    </row>
    <row r="39" customFormat="false" ht="15" hidden="false" customHeight="true" outlineLevel="0" collapsed="false">
      <c r="A39" s="6" t="s">
        <v>70</v>
      </c>
      <c r="B39" s="14" t="n">
        <v>0.05</v>
      </c>
    </row>
    <row r="40" customFormat="false" ht="15" hidden="false" customHeight="true" outlineLevel="0" collapsed="false">
      <c r="A40" s="6" t="s">
        <v>71</v>
      </c>
      <c r="B40" s="16" t="n">
        <v>1</v>
      </c>
    </row>
    <row r="42" customFormat="false" ht="15" hidden="false" customHeight="true" outlineLevel="0" collapsed="false">
      <c r="A42" s="10" t="s">
        <v>72</v>
      </c>
      <c r="B42" s="11"/>
      <c r="C42" s="11"/>
    </row>
    <row r="43" customFormat="false" ht="15" hidden="false" customHeight="true" outlineLevel="0" collapsed="false">
      <c r="A43" s="6" t="s">
        <v>73</v>
      </c>
      <c r="B43" s="17" t="n">
        <v>0.6</v>
      </c>
    </row>
    <row r="44" customFormat="false" ht="15" hidden="false" customHeight="true" outlineLevel="0" collapsed="false">
      <c r="A44" s="6" t="s">
        <v>74</v>
      </c>
      <c r="B44" s="14" t="n">
        <v>0.045</v>
      </c>
    </row>
    <row r="45" customFormat="false" ht="15" hidden="false" customHeight="true" outlineLevel="0" collapsed="false">
      <c r="A45" s="6" t="s">
        <v>75</v>
      </c>
      <c r="B45" s="18" t="n">
        <v>25</v>
      </c>
    </row>
    <row r="47" customFormat="false" ht="15" hidden="false" customHeight="true" outlineLevel="0" collapsed="false">
      <c r="A47" s="10" t="s">
        <v>76</v>
      </c>
      <c r="B47" s="11"/>
      <c r="C47" s="11"/>
    </row>
    <row r="48" customFormat="false" ht="15" hidden="false" customHeight="true" outlineLevel="0" collapsed="false">
      <c r="A48" s="6" t="s">
        <v>77</v>
      </c>
      <c r="B48" s="19" t="n">
        <v>200000</v>
      </c>
    </row>
    <row r="49" customFormat="false" ht="15" hidden="false" customHeight="true" outlineLevel="0" collapsed="false">
      <c r="A49" s="6" t="s">
        <v>78</v>
      </c>
      <c r="B49" s="20" t="n">
        <v>1.5</v>
      </c>
      <c r="C49" s="13" t="s">
        <v>79</v>
      </c>
    </row>
    <row r="50" customFormat="false" ht="15" hidden="false" customHeight="true" outlineLevel="0" collapsed="false">
      <c r="A50" s="6" t="s">
        <v>80</v>
      </c>
      <c r="B50" s="14" t="n">
        <v>0.015</v>
      </c>
    </row>
    <row r="51" customFormat="false" ht="15" hidden="false" customHeight="true" outlineLevel="0" collapsed="false">
      <c r="A51" s="6" t="s">
        <v>81</v>
      </c>
      <c r="B51" s="17" t="n">
        <v>0.1</v>
      </c>
      <c r="C51" s="13" t="s">
        <v>82</v>
      </c>
    </row>
    <row r="52" customFormat="false" ht="15" hidden="false" customHeight="true" outlineLevel="0" collapsed="false">
      <c r="A52" s="6" t="s">
        <v>83</v>
      </c>
      <c r="B52" s="14" t="n">
        <v>0.03</v>
      </c>
    </row>
    <row r="53" customFormat="false" ht="15" hidden="false" customHeight="true" outlineLevel="0" collapsed="false">
      <c r="A53" s="6" t="s">
        <v>84</v>
      </c>
      <c r="B53" s="21" t="n">
        <v>0.25</v>
      </c>
    </row>
    <row r="54" customFormat="false" ht="15" hidden="false" customHeight="true" outlineLevel="0" collapsed="false">
      <c r="A54" s="6" t="s">
        <v>85</v>
      </c>
      <c r="B54" s="21" t="n">
        <v>0.35</v>
      </c>
    </row>
    <row r="56" customFormat="false" ht="15" hidden="false" customHeight="true" outlineLevel="0" collapsed="false">
      <c r="A56" s="10" t="s">
        <v>86</v>
      </c>
      <c r="B56" s="11"/>
      <c r="C56" s="11"/>
    </row>
    <row r="57" customFormat="false" ht="15" hidden="false" customHeight="true" outlineLevel="0" collapsed="false">
      <c r="A57" s="6" t="s">
        <v>87</v>
      </c>
      <c r="B57" s="17" t="n">
        <v>0.0614</v>
      </c>
      <c r="C57" s="13" t="s">
        <v>88</v>
      </c>
    </row>
    <row r="58" customFormat="false" ht="15" hidden="false" customHeight="true" outlineLevel="0" collapsed="false">
      <c r="A58" s="6" t="s">
        <v>89</v>
      </c>
      <c r="B58" s="14" t="n">
        <v>0.02</v>
      </c>
    </row>
    <row r="59" customFormat="false" ht="15" hidden="false" customHeight="true" outlineLevel="0" collapsed="false">
      <c r="A59" s="6" t="s">
        <v>90</v>
      </c>
      <c r="B59" s="18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42"/>
  </cols>
  <sheetData>
    <row r="1" customFormat="false" ht="17.25" hidden="false" customHeight="true" outlineLevel="0" collapsed="false">
      <c r="A1" s="2" t="s">
        <v>91</v>
      </c>
    </row>
    <row r="3" customFormat="false" ht="15" hidden="false" customHeight="true" outlineLevel="0" collapsed="false">
      <c r="A3" s="10" t="s">
        <v>92</v>
      </c>
      <c r="B3" s="11"/>
      <c r="C3" s="11"/>
    </row>
    <row r="4" customFormat="false" ht="15" hidden="false" customHeight="true" outlineLevel="0" collapsed="false">
      <c r="A4" s="4" t="s">
        <v>93</v>
      </c>
      <c r="B4" s="22"/>
      <c r="C4" s="22"/>
    </row>
    <row r="5" customFormat="false" ht="15" hidden="false" customHeight="true" outlineLevel="0" collapsed="false">
      <c r="A5" s="23" t="s">
        <v>94</v>
      </c>
      <c r="B5" s="24" t="n">
        <f aca="false">Assumptions!B5</f>
        <v>15744700</v>
      </c>
    </row>
    <row r="6" customFormat="false" ht="15" hidden="false" customHeight="true" outlineLevel="0" collapsed="false">
      <c r="A6" s="23" t="s">
        <v>95</v>
      </c>
      <c r="B6" s="24" t="n">
        <f aca="false">Assumptions!B5*Assumptions!B6</f>
        <v>629788</v>
      </c>
    </row>
    <row r="7" customFormat="false" ht="15" hidden="false" customHeight="true" outlineLevel="0" collapsed="false">
      <c r="A7" s="23" t="s">
        <v>38</v>
      </c>
      <c r="B7" s="24" t="n">
        <f aca="false">Assumptions!B7</f>
        <v>15000</v>
      </c>
    </row>
    <row r="8" customFormat="false" ht="15" hidden="false" customHeight="true" outlineLevel="0" collapsed="false">
      <c r="A8" s="23" t="s">
        <v>39</v>
      </c>
      <c r="B8" s="24" t="n">
        <f aca="false">Assumptions!B8</f>
        <v>20000</v>
      </c>
    </row>
    <row r="9" customFormat="false" ht="15" hidden="false" customHeight="true" outlineLevel="0" collapsed="false">
      <c r="A9" s="25" t="s">
        <v>96</v>
      </c>
      <c r="B9" s="26" t="n">
        <f aca="false">SUM(B5:B8)</f>
        <v>16409488</v>
      </c>
    </row>
    <row r="11" customFormat="false" ht="15" hidden="false" customHeight="true" outlineLevel="0" collapsed="false">
      <c r="A11" s="4" t="s">
        <v>97</v>
      </c>
      <c r="B11" s="22"/>
      <c r="C11" s="22"/>
    </row>
    <row r="12" customFormat="false" ht="15" hidden="false" customHeight="true" outlineLevel="0" collapsed="false">
      <c r="A12" s="23" t="s">
        <v>41</v>
      </c>
      <c r="B12" s="24" t="n">
        <f aca="false">Assumptions!B11</f>
        <v>25000</v>
      </c>
    </row>
    <row r="13" customFormat="false" ht="15" hidden="false" customHeight="true" outlineLevel="0" collapsed="false">
      <c r="A13" s="23" t="s">
        <v>42</v>
      </c>
      <c r="B13" s="24" t="n">
        <f aca="false">Assumptions!B12</f>
        <v>50000</v>
      </c>
    </row>
    <row r="14" customFormat="false" ht="15" hidden="false" customHeight="true" outlineLevel="0" collapsed="false">
      <c r="A14" s="23" t="s">
        <v>43</v>
      </c>
      <c r="B14" s="24" t="n">
        <f aca="false">Assumptions!B13</f>
        <v>25000</v>
      </c>
    </row>
    <row r="15" customFormat="false" ht="15" hidden="false" customHeight="true" outlineLevel="0" collapsed="false">
      <c r="A15" s="23" t="s">
        <v>98</v>
      </c>
      <c r="B15" s="24" t="n">
        <f aca="false">Assumptions!B14</f>
        <v>8249918</v>
      </c>
    </row>
    <row r="16" customFormat="false" ht="15" hidden="false" customHeight="true" outlineLevel="0" collapsed="false">
      <c r="A16" s="23" t="s">
        <v>99</v>
      </c>
      <c r="B16" s="24" t="n">
        <f aca="false">Assumptions!B15*Assumptions!B16</f>
        <v>0</v>
      </c>
      <c r="C16" s="3" t="s">
        <v>100</v>
      </c>
    </row>
    <row r="17" customFormat="false" ht="15" hidden="false" customHeight="true" outlineLevel="0" collapsed="false">
      <c r="A17" s="23" t="s">
        <v>101</v>
      </c>
      <c r="B17" s="24" t="n">
        <f aca="false">Assumptions!B17</f>
        <v>105000</v>
      </c>
    </row>
    <row r="18" customFormat="false" ht="15" hidden="false" customHeight="true" outlineLevel="0" collapsed="false">
      <c r="A18" s="23" t="s">
        <v>51</v>
      </c>
      <c r="B18" s="24" t="n">
        <f aca="false">Assumptions!B18</f>
        <v>780000</v>
      </c>
    </row>
    <row r="19" customFormat="false" ht="15" hidden="false" customHeight="true" outlineLevel="0" collapsed="false">
      <c r="A19" s="23" t="s">
        <v>52</v>
      </c>
      <c r="B19" s="24" t="n">
        <f aca="false">Assumptions!B19</f>
        <v>50000</v>
      </c>
    </row>
    <row r="20" customFormat="false" ht="15" hidden="false" customHeight="true" outlineLevel="0" collapsed="false">
      <c r="A20" s="23" t="s">
        <v>53</v>
      </c>
      <c r="B20" s="24" t="n">
        <f aca="false">Assumptions!B20</f>
        <v>100000</v>
      </c>
    </row>
    <row r="21" customFormat="false" ht="15" hidden="false" customHeight="true" outlineLevel="0" collapsed="false">
      <c r="A21" s="23" t="s">
        <v>54</v>
      </c>
      <c r="B21" s="24" t="n">
        <f aca="false">Assumptions!B21</f>
        <v>15000</v>
      </c>
    </row>
    <row r="22" customFormat="false" ht="15" hidden="false" customHeight="true" outlineLevel="0" collapsed="false">
      <c r="A22" s="23" t="s">
        <v>55</v>
      </c>
      <c r="B22" s="24" t="n">
        <f aca="false">Assumptions!B22</f>
        <v>200000</v>
      </c>
    </row>
    <row r="23" customFormat="false" ht="15" hidden="false" customHeight="true" outlineLevel="0" collapsed="false">
      <c r="A23" s="23" t="s">
        <v>56</v>
      </c>
      <c r="B23" s="24" t="n">
        <f aca="false">Assumptions!B23</f>
        <v>40000</v>
      </c>
    </row>
    <row r="24" customFormat="false" ht="15" hidden="false" customHeight="true" outlineLevel="0" collapsed="false">
      <c r="A24" s="23" t="s">
        <v>57</v>
      </c>
      <c r="B24" s="24" t="n">
        <f aca="false">Assumptions!B24</f>
        <v>75000</v>
      </c>
    </row>
    <row r="25" customFormat="false" ht="15" hidden="false" customHeight="true" outlineLevel="0" collapsed="false">
      <c r="A25" s="23" t="s">
        <v>58</v>
      </c>
      <c r="B25" s="24" t="n">
        <f aca="false">Assumptions!B25</f>
        <v>325000</v>
      </c>
    </row>
    <row r="26" customFormat="false" ht="15" hidden="false" customHeight="true" outlineLevel="0" collapsed="false">
      <c r="A26" s="8" t="s">
        <v>102</v>
      </c>
      <c r="B26" s="27" t="n">
        <f aca="false">SUM(B12:B25)</f>
        <v>10039918</v>
      </c>
    </row>
    <row r="27" customFormat="false" ht="15" hidden="false" customHeight="true" outlineLevel="0" collapsed="false">
      <c r="A27" s="23" t="s">
        <v>103</v>
      </c>
      <c r="B27" s="28" t="n">
        <f aca="false">B26*Assumptions!B26</f>
        <v>1505987.7</v>
      </c>
    </row>
    <row r="28" customFormat="false" ht="15" hidden="false" customHeight="true" outlineLevel="0" collapsed="false">
      <c r="A28" s="25" t="s">
        <v>104</v>
      </c>
      <c r="B28" s="26" t="n">
        <f aca="false">B26+B27</f>
        <v>11545905.7</v>
      </c>
    </row>
    <row r="30" customFormat="false" ht="15" hidden="false" customHeight="true" outlineLevel="0" collapsed="false">
      <c r="A30" s="4" t="s">
        <v>105</v>
      </c>
      <c r="B30" s="22"/>
      <c r="C30" s="22"/>
    </row>
    <row r="31" customFormat="false" ht="15" hidden="false" customHeight="true" outlineLevel="0" collapsed="false">
      <c r="A31" s="23" t="s">
        <v>61</v>
      </c>
      <c r="B31" s="24" t="n">
        <f aca="false">Assumptions!B29</f>
        <v>350000</v>
      </c>
    </row>
    <row r="32" customFormat="false" ht="15" hidden="false" customHeight="true" outlineLevel="0" collapsed="false">
      <c r="A32" s="23" t="s">
        <v>62</v>
      </c>
      <c r="B32" s="24" t="n">
        <f aca="false">Assumptions!B30</f>
        <v>100000</v>
      </c>
    </row>
    <row r="33" customFormat="false" ht="15" hidden="false" customHeight="true" outlineLevel="0" collapsed="false">
      <c r="A33" s="23" t="s">
        <v>63</v>
      </c>
      <c r="B33" s="24" t="n">
        <f aca="false">Assumptions!B31</f>
        <v>100000</v>
      </c>
    </row>
    <row r="34" customFormat="false" ht="15" hidden="false" customHeight="true" outlineLevel="0" collapsed="false">
      <c r="A34" s="23" t="s">
        <v>64</v>
      </c>
      <c r="B34" s="24" t="n">
        <f aca="false">Assumptions!B32</f>
        <v>75000</v>
      </c>
    </row>
    <row r="35" customFormat="false" ht="15" hidden="false" customHeight="true" outlineLevel="0" collapsed="false">
      <c r="A35" s="23" t="s">
        <v>65</v>
      </c>
      <c r="B35" s="24" t="n">
        <f aca="false">Assumptions!B33</f>
        <v>125000</v>
      </c>
    </row>
    <row r="36" customFormat="false" ht="15" hidden="false" customHeight="true" outlineLevel="0" collapsed="false">
      <c r="A36" s="23" t="s">
        <v>66</v>
      </c>
      <c r="B36" s="24" t="n">
        <f aca="false">Assumptions!B34</f>
        <v>75000</v>
      </c>
    </row>
    <row r="37" customFormat="false" ht="15" hidden="false" customHeight="true" outlineLevel="0" collapsed="false">
      <c r="A37" s="23" t="s">
        <v>67</v>
      </c>
      <c r="B37" s="24" t="n">
        <f aca="false">Assumptions!B35</f>
        <v>150000</v>
      </c>
    </row>
    <row r="38" customFormat="false" ht="15" hidden="false" customHeight="true" outlineLevel="0" collapsed="false">
      <c r="A38" s="8" t="s">
        <v>106</v>
      </c>
      <c r="B38" s="27" t="n">
        <f aca="false">SUM(B31:B37)</f>
        <v>975000</v>
      </c>
    </row>
    <row r="39" customFormat="false" ht="15" hidden="false" customHeight="true" outlineLevel="0" collapsed="false">
      <c r="A39" s="23" t="s">
        <v>107</v>
      </c>
      <c r="B39" s="28" t="n">
        <f aca="false">B38*Assumptions!B36</f>
        <v>97500</v>
      </c>
    </row>
    <row r="40" customFormat="false" ht="15" hidden="false" customHeight="true" outlineLevel="0" collapsed="false">
      <c r="A40" s="25" t="s">
        <v>108</v>
      </c>
      <c r="B40" s="26" t="n">
        <f aca="false">B38+B39</f>
        <v>1072500</v>
      </c>
      <c r="C40" s="3" t="s">
        <v>109</v>
      </c>
    </row>
    <row r="42" customFormat="false" ht="15" hidden="false" customHeight="true" outlineLevel="0" collapsed="false">
      <c r="A42" s="4" t="s">
        <v>110</v>
      </c>
      <c r="B42" s="22"/>
      <c r="C42" s="22"/>
    </row>
    <row r="43" customFormat="false" ht="15" hidden="false" customHeight="true" outlineLevel="0" collapsed="false">
      <c r="A43" s="23" t="s">
        <v>111</v>
      </c>
      <c r="B43" s="28" t="n">
        <f aca="false">(B28+B40)*Assumptions!B39</f>
        <v>630920.285</v>
      </c>
    </row>
    <row r="44" customFormat="false" ht="15" hidden="false" customHeight="true" outlineLevel="0" collapsed="false">
      <c r="A44" s="8" t="s">
        <v>112</v>
      </c>
      <c r="B44" s="27" t="n">
        <f aca="false">B9+B28+B40+B43</f>
        <v>29658813.985</v>
      </c>
    </row>
    <row r="46" customFormat="false" ht="15" hidden="false" customHeight="true" outlineLevel="0" collapsed="false">
      <c r="A46" s="10" t="s">
        <v>113</v>
      </c>
      <c r="B46" s="11"/>
      <c r="C46" s="11"/>
    </row>
    <row r="47" customFormat="false" ht="15" hidden="false" customHeight="true" outlineLevel="0" collapsed="false">
      <c r="A47" s="23" t="s">
        <v>114</v>
      </c>
      <c r="B47" s="28" t="n">
        <f aca="false">B44*Assumptions!B43</f>
        <v>17795288.391</v>
      </c>
      <c r="C47" s="3" t="s">
        <v>115</v>
      </c>
    </row>
    <row r="48" customFormat="false" ht="15" hidden="false" customHeight="true" outlineLevel="0" collapsed="false">
      <c r="A48" s="23" t="s">
        <v>116</v>
      </c>
      <c r="B48" s="28" t="n">
        <f aca="false">B47*Assumptions!B44*Assumptions!B40*0.5</f>
        <v>400393.9887975</v>
      </c>
      <c r="C48" s="3" t="s">
        <v>117</v>
      </c>
    </row>
    <row r="49" customFormat="false" ht="15" hidden="false" customHeight="true" outlineLevel="0" collapsed="false">
      <c r="A49" s="25" t="s">
        <v>118</v>
      </c>
      <c r="B49" s="26" t="n">
        <f aca="false">B44+B48</f>
        <v>30059207.9737975</v>
      </c>
    </row>
    <row r="50" customFormat="false" ht="15" hidden="false" customHeight="true" outlineLevel="0" collapsed="false">
      <c r="A50" s="8" t="s">
        <v>119</v>
      </c>
      <c r="B50" s="27" t="n">
        <f aca="false">B47</f>
        <v>17795288.391</v>
      </c>
    </row>
    <row r="51" customFormat="false" ht="15" hidden="false" customHeight="true" outlineLevel="0" collapsed="false">
      <c r="A51" s="25" t="s">
        <v>120</v>
      </c>
      <c r="B51" s="26" t="n">
        <f aca="false">B49-B47</f>
        <v>12263919.5827975</v>
      </c>
    </row>
    <row r="52" customFormat="false" ht="15" hidden="false" customHeight="true" outlineLevel="0" collapsed="false">
      <c r="A52" s="23" t="s">
        <v>121</v>
      </c>
      <c r="B52" s="28" t="n">
        <f aca="false">(B50+B51)-B49</f>
        <v>0</v>
      </c>
      <c r="C52" s="3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3" min="2" style="1" width="12"/>
  </cols>
  <sheetData>
    <row r="1" customFormat="false" ht="17.25" hidden="false" customHeight="true" outlineLevel="0" collapsed="false">
      <c r="A1" s="2" t="s">
        <v>123</v>
      </c>
    </row>
    <row r="2" customFormat="false" ht="15" hidden="false" customHeight="true" outlineLevel="0" collapsed="false">
      <c r="A2" s="3" t="s">
        <v>124</v>
      </c>
    </row>
    <row r="4" customFormat="false" ht="15" hidden="false" customHeight="true" outlineLevel="0" collapsed="false">
      <c r="A4" s="8"/>
      <c r="B4" s="29" t="s">
        <v>125</v>
      </c>
      <c r="C4" s="29" t="s">
        <v>126</v>
      </c>
      <c r="D4" s="29" t="s">
        <v>127</v>
      </c>
      <c r="E4" s="29" t="s">
        <v>128</v>
      </c>
      <c r="F4" s="29" t="s">
        <v>129</v>
      </c>
      <c r="G4" s="29" t="s">
        <v>130</v>
      </c>
      <c r="H4" s="29" t="s">
        <v>131</v>
      </c>
      <c r="I4" s="29" t="s">
        <v>132</v>
      </c>
      <c r="J4" s="29" t="s">
        <v>133</v>
      </c>
      <c r="K4" s="29" t="s">
        <v>134</v>
      </c>
      <c r="L4" s="29" t="s">
        <v>135</v>
      </c>
      <c r="M4" s="29" t="s">
        <v>136</v>
      </c>
    </row>
    <row r="5" customFormat="false" ht="15" hidden="false" customHeight="true" outlineLevel="0" collapsed="false">
      <c r="A5" s="23" t="s">
        <v>137</v>
      </c>
      <c r="B5" s="28" t="n">
        <v>0</v>
      </c>
      <c r="C5" s="28" t="n">
        <v>0</v>
      </c>
      <c r="D5" s="28" t="n">
        <f aca="false">Assumptions!B48*Assumptions!B49*12</f>
        <v>3600000</v>
      </c>
      <c r="E5" s="28" t="n">
        <f aca="false">D5*(1+Assumptions!B50)</f>
        <v>3654000</v>
      </c>
      <c r="F5" s="28" t="n">
        <f aca="false">E5*(1+Assumptions!B50)</f>
        <v>3708810</v>
      </c>
      <c r="G5" s="28" t="n">
        <f aca="false">F5*(1+Assumptions!B50)</f>
        <v>3764442.15</v>
      </c>
      <c r="H5" s="28" t="n">
        <f aca="false">G5*(1+Assumptions!B50)</f>
        <v>3820908.78225</v>
      </c>
      <c r="I5" s="28" t="n">
        <f aca="false">H5*(1+Assumptions!B50)</f>
        <v>3878222.41398375</v>
      </c>
      <c r="J5" s="28" t="n">
        <f aca="false">I5*(1+Assumptions!B50)</f>
        <v>3936395.7501935</v>
      </c>
      <c r="K5" s="28" t="n">
        <f aca="false">J5*(1+Assumptions!B50)</f>
        <v>3995441.68644641</v>
      </c>
      <c r="L5" s="28" t="n">
        <f aca="false">K5*(1+Assumptions!B50)</f>
        <v>4055373.3117431</v>
      </c>
      <c r="M5" s="28" t="n">
        <f aca="false">L5*(1+Assumptions!B50)</f>
        <v>4116203.91141925</v>
      </c>
    </row>
    <row r="6" customFormat="false" ht="15" hidden="false" customHeight="true" outlineLevel="0" collapsed="false">
      <c r="A6" s="23" t="s">
        <v>138</v>
      </c>
      <c r="B6" s="28" t="n">
        <v>0</v>
      </c>
      <c r="C6" s="28" t="n">
        <v>0</v>
      </c>
      <c r="D6" s="28" t="n">
        <f aca="false">-D5*Assumptions!B51</f>
        <v>-360000</v>
      </c>
      <c r="E6" s="28" t="n">
        <f aca="false">-E5*Assumptions!B51</f>
        <v>-365400</v>
      </c>
      <c r="F6" s="28" t="n">
        <f aca="false">-F5*Assumptions!B51</f>
        <v>-370881</v>
      </c>
      <c r="G6" s="28" t="n">
        <f aca="false">-G5*Assumptions!B51</f>
        <v>-376444.215</v>
      </c>
      <c r="H6" s="28" t="n">
        <f aca="false">-H5*Assumptions!B51</f>
        <v>-382090.878225</v>
      </c>
      <c r="I6" s="28" t="n">
        <f aca="false">-I5*Assumptions!B51</f>
        <v>-387822.241398375</v>
      </c>
      <c r="J6" s="28" t="n">
        <f aca="false">-J5*Assumptions!B51</f>
        <v>-393639.57501935</v>
      </c>
      <c r="K6" s="28" t="n">
        <f aca="false">-K5*Assumptions!B51</f>
        <v>-399544.168644641</v>
      </c>
      <c r="L6" s="28" t="n">
        <f aca="false">-L5*Assumptions!B51</f>
        <v>-405537.33117431</v>
      </c>
      <c r="M6" s="28" t="n">
        <f aca="false">-M5*Assumptions!B51</f>
        <v>-411620.391141925</v>
      </c>
    </row>
    <row r="7" customFormat="false" ht="15" hidden="false" customHeight="true" outlineLevel="0" collapsed="false">
      <c r="A7" s="8" t="s">
        <v>139</v>
      </c>
      <c r="B7" s="27" t="n">
        <f aca="false">B5+B6</f>
        <v>0</v>
      </c>
      <c r="C7" s="27" t="n">
        <f aca="false">C5+C6</f>
        <v>0</v>
      </c>
      <c r="D7" s="27" t="n">
        <f aca="false">D5+D6</f>
        <v>3240000</v>
      </c>
      <c r="E7" s="27" t="n">
        <f aca="false">E5+E6</f>
        <v>3288600</v>
      </c>
      <c r="F7" s="27" t="n">
        <f aca="false">F5+F6</f>
        <v>3337929</v>
      </c>
      <c r="G7" s="27" t="n">
        <f aca="false">G5+G6</f>
        <v>3387997.935</v>
      </c>
      <c r="H7" s="27" t="n">
        <f aca="false">H5+H6</f>
        <v>3438817.904025</v>
      </c>
      <c r="I7" s="27" t="n">
        <f aca="false">I5+I6</f>
        <v>3490400.17258537</v>
      </c>
      <c r="J7" s="27" t="n">
        <f aca="false">J5+J6</f>
        <v>3542756.17517415</v>
      </c>
      <c r="K7" s="27" t="n">
        <f aca="false">K5+K6</f>
        <v>3595897.51780177</v>
      </c>
      <c r="L7" s="27" t="n">
        <f aca="false">L5+L6</f>
        <v>3649835.98056879</v>
      </c>
      <c r="M7" s="27" t="n">
        <f aca="false">M5+M6</f>
        <v>3704583.52027732</v>
      </c>
    </row>
    <row r="8" customFormat="false" ht="15" hidden="false" customHeight="true" outlineLevel="0" collapsed="false">
      <c r="A8" s="23" t="s">
        <v>140</v>
      </c>
      <c r="B8" s="28" t="n">
        <v>0</v>
      </c>
      <c r="C8" s="28" t="n">
        <v>0</v>
      </c>
      <c r="D8" s="28" t="n">
        <f aca="false">-D7*Assumptions!B52</f>
        <v>-97200</v>
      </c>
      <c r="E8" s="28" t="n">
        <f aca="false">-E7*Assumptions!B52</f>
        <v>-98658</v>
      </c>
      <c r="F8" s="28" t="n">
        <f aca="false">-F7*Assumptions!B52</f>
        <v>-100137.87</v>
      </c>
      <c r="G8" s="28" t="n">
        <f aca="false">-G7*Assumptions!B52</f>
        <v>-101639.93805</v>
      </c>
      <c r="H8" s="28" t="n">
        <f aca="false">-H7*Assumptions!B52</f>
        <v>-103164.53712075</v>
      </c>
      <c r="I8" s="28" t="n">
        <f aca="false">-I7*Assumptions!B52</f>
        <v>-104712.005177561</v>
      </c>
      <c r="J8" s="28" t="n">
        <f aca="false">-J7*Assumptions!B52</f>
        <v>-106282.685255225</v>
      </c>
      <c r="K8" s="28" t="n">
        <f aca="false">-K7*Assumptions!B52</f>
        <v>-107876.925534053</v>
      </c>
      <c r="L8" s="28" t="n">
        <f aca="false">-L7*Assumptions!B52</f>
        <v>-109495.079417064</v>
      </c>
      <c r="M8" s="28" t="n">
        <f aca="false">-M7*Assumptions!B52</f>
        <v>-111137.50560832</v>
      </c>
    </row>
    <row r="9" customFormat="false" ht="15" hidden="false" customHeight="true" outlineLevel="0" collapsed="false">
      <c r="A9" s="23" t="s">
        <v>141</v>
      </c>
      <c r="B9" s="28" t="n">
        <v>0</v>
      </c>
      <c r="C9" s="28" t="n">
        <v>0</v>
      </c>
      <c r="D9" s="28" t="n">
        <f aca="false">-Assumptions!B48*Assumptions!B53</f>
        <v>-50000</v>
      </c>
      <c r="E9" s="28" t="n">
        <f aca="false">-Assumptions!B48*Assumptions!B53</f>
        <v>-50000</v>
      </c>
      <c r="F9" s="28" t="n">
        <f aca="false">-Assumptions!B48*Assumptions!B53</f>
        <v>-50000</v>
      </c>
      <c r="G9" s="28" t="n">
        <f aca="false">-Assumptions!B48*Assumptions!B53</f>
        <v>-50000</v>
      </c>
      <c r="H9" s="28" t="n">
        <f aca="false">-Assumptions!B48*Assumptions!B53</f>
        <v>-50000</v>
      </c>
      <c r="I9" s="28" t="n">
        <f aca="false">-Assumptions!B48*Assumptions!B53</f>
        <v>-50000</v>
      </c>
      <c r="J9" s="28" t="n">
        <f aca="false">-Assumptions!B48*Assumptions!B53</f>
        <v>-50000</v>
      </c>
      <c r="K9" s="28" t="n">
        <f aca="false">-Assumptions!B48*Assumptions!B53</f>
        <v>-50000</v>
      </c>
      <c r="L9" s="28" t="n">
        <f aca="false">-Assumptions!B48*Assumptions!B53</f>
        <v>-50000</v>
      </c>
      <c r="M9" s="28" t="n">
        <f aca="false">-Assumptions!B48*Assumptions!B53</f>
        <v>-50000</v>
      </c>
    </row>
    <row r="10" customFormat="false" ht="15" hidden="false" customHeight="true" outlineLevel="0" collapsed="false">
      <c r="A10" s="23" t="s">
        <v>142</v>
      </c>
      <c r="B10" s="28" t="n">
        <v>0</v>
      </c>
      <c r="C10" s="28" t="n">
        <v>0</v>
      </c>
      <c r="D10" s="28" t="n">
        <f aca="false">-Assumptions!B48*Assumptions!B54</f>
        <v>-70000</v>
      </c>
      <c r="E10" s="28" t="n">
        <f aca="false">-Assumptions!B48*Assumptions!B54</f>
        <v>-70000</v>
      </c>
      <c r="F10" s="28" t="n">
        <f aca="false">-Assumptions!B48*Assumptions!B54</f>
        <v>-70000</v>
      </c>
      <c r="G10" s="28" t="n">
        <f aca="false">-Assumptions!B48*Assumptions!B54</f>
        <v>-70000</v>
      </c>
      <c r="H10" s="28" t="n">
        <f aca="false">-Assumptions!B48*Assumptions!B54</f>
        <v>-70000</v>
      </c>
      <c r="I10" s="28" t="n">
        <f aca="false">-Assumptions!B48*Assumptions!B54</f>
        <v>-70000</v>
      </c>
      <c r="J10" s="28" t="n">
        <f aca="false">-Assumptions!B48*Assumptions!B54</f>
        <v>-70000</v>
      </c>
      <c r="K10" s="28" t="n">
        <f aca="false">-Assumptions!B48*Assumptions!B54</f>
        <v>-70000</v>
      </c>
      <c r="L10" s="28" t="n">
        <f aca="false">-Assumptions!B48*Assumptions!B54</f>
        <v>-70000</v>
      </c>
      <c r="M10" s="28" t="n">
        <f aca="false">-Assumptions!B48*Assumptions!B54</f>
        <v>-70000</v>
      </c>
    </row>
    <row r="11" customFormat="false" ht="15" hidden="false" customHeight="true" outlineLevel="0" collapsed="false">
      <c r="A11" s="25" t="s">
        <v>143</v>
      </c>
      <c r="B11" s="26" t="n">
        <f aca="false">B7+B8+B9+B10</f>
        <v>0</v>
      </c>
      <c r="C11" s="26" t="n">
        <f aca="false">C7+C8+C9+C10</f>
        <v>0</v>
      </c>
      <c r="D11" s="26" t="n">
        <f aca="false">D7+D8+D9+D10</f>
        <v>3022800</v>
      </c>
      <c r="E11" s="26" t="n">
        <f aca="false">E7+E8+E9+E10</f>
        <v>3069942</v>
      </c>
      <c r="F11" s="26" t="n">
        <f aca="false">F7+F8+F9+F10</f>
        <v>3117791.13</v>
      </c>
      <c r="G11" s="26" t="n">
        <f aca="false">G7+G8+G9+G10</f>
        <v>3166357.99695</v>
      </c>
      <c r="H11" s="26" t="n">
        <f aca="false">H7+H8+H9+H10</f>
        <v>3215653.36690425</v>
      </c>
      <c r="I11" s="26" t="n">
        <f aca="false">I7+I8+I9+I10</f>
        <v>3265688.16740781</v>
      </c>
      <c r="J11" s="26" t="n">
        <f aca="false">J7+J8+J9+J10</f>
        <v>3316473.48991893</v>
      </c>
      <c r="K11" s="26" t="n">
        <f aca="false">K7+K8+K9+K10</f>
        <v>3368020.59226771</v>
      </c>
      <c r="L11" s="26" t="n">
        <f aca="false">L7+L8+L9+L10</f>
        <v>3420340.90115173</v>
      </c>
      <c r="M11" s="26" t="n">
        <f aca="false">M7+M8+M9+M10</f>
        <v>3473446.014669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40"/>
  </cols>
  <sheetData>
    <row r="1" customFormat="false" ht="17.25" hidden="false" customHeight="true" outlineLevel="0" collapsed="false">
      <c r="A1" s="2" t="s">
        <v>144</v>
      </c>
    </row>
    <row r="3" customFormat="false" ht="15" hidden="false" customHeight="true" outlineLevel="0" collapsed="false">
      <c r="A3" s="10" t="s">
        <v>145</v>
      </c>
      <c r="B3" s="11"/>
      <c r="C3" s="11"/>
    </row>
    <row r="4" customFormat="false" ht="15" hidden="false" customHeight="true" outlineLevel="0" collapsed="false">
      <c r="A4" s="8" t="s">
        <v>146</v>
      </c>
      <c r="B4" s="27" t="n">
        <f aca="false">'Dev Budget'!B49</f>
        <v>30059207.9737975</v>
      </c>
    </row>
    <row r="5" customFormat="false" ht="15" hidden="false" customHeight="true" outlineLevel="0" collapsed="false">
      <c r="A5" s="23" t="s">
        <v>147</v>
      </c>
      <c r="B5" s="28" t="n">
        <f aca="false">'Dev Budget'!B50</f>
        <v>17795288.391</v>
      </c>
    </row>
    <row r="6" customFormat="false" ht="15" hidden="false" customHeight="true" outlineLevel="0" collapsed="false">
      <c r="A6" s="8" t="s">
        <v>120</v>
      </c>
      <c r="B6" s="27" t="n">
        <f aca="false">'Dev Budget'!B51</f>
        <v>12263919.5827975</v>
      </c>
    </row>
    <row r="7" customFormat="false" ht="15" hidden="false" customHeight="true" outlineLevel="0" collapsed="false">
      <c r="A7" s="23" t="s">
        <v>148</v>
      </c>
      <c r="B7" s="28" t="n">
        <f aca="false">'Pro Forma'!D11</f>
        <v>3022800</v>
      </c>
    </row>
    <row r="8" customFormat="false" ht="15" hidden="false" customHeight="true" outlineLevel="0" collapsed="false">
      <c r="A8" s="25" t="s">
        <v>149</v>
      </c>
      <c r="B8" s="30" t="n">
        <f aca="false">B7/B4</f>
        <v>0.100561531848576</v>
      </c>
      <c r="C8" s="3" t="s">
        <v>150</v>
      </c>
    </row>
    <row r="9" customFormat="false" ht="15" hidden="false" customHeight="true" outlineLevel="0" collapsed="false">
      <c r="A9" s="23" t="s">
        <v>151</v>
      </c>
      <c r="B9" s="31" t="n">
        <f aca="false">Assumptions!B57</f>
        <v>0.0614</v>
      </c>
    </row>
    <row r="10" customFormat="false" ht="15" hidden="false" customHeight="true" outlineLevel="0" collapsed="false">
      <c r="A10" s="8" t="s">
        <v>152</v>
      </c>
      <c r="B10" s="32" t="n">
        <f aca="false">B8-B9</f>
        <v>0.0391615318485758</v>
      </c>
      <c r="C10" s="3" t="s">
        <v>153</v>
      </c>
    </row>
    <row r="12" customFormat="false" ht="15" hidden="false" customHeight="true" outlineLevel="0" collapsed="false">
      <c r="A12" s="23" t="s">
        <v>154</v>
      </c>
      <c r="B12" s="28" t="n">
        <f aca="false">PMT(Assumptions!B44,Assumptions!B45,-B5)</f>
        <v>1200096.9527573</v>
      </c>
    </row>
    <row r="13" customFormat="false" ht="15" hidden="false" customHeight="true" outlineLevel="0" collapsed="false">
      <c r="A13" s="8" t="s">
        <v>155</v>
      </c>
      <c r="B13" s="33" t="n">
        <f aca="false">B7/B12</f>
        <v>2.51879649644549</v>
      </c>
    </row>
    <row r="14" customFormat="false" ht="15" hidden="false" customHeight="true" outlineLevel="0" collapsed="false">
      <c r="A14" s="23" t="s">
        <v>156</v>
      </c>
      <c r="B14" s="28" t="n">
        <f aca="false">B5*(1+Assumptions!B44)^10-B12*((1+Assumptions!B44)^10-1)/Assumptions!B44</f>
        <v>12888496.1001499</v>
      </c>
    </row>
    <row r="15" customFormat="false" ht="15" hidden="false" customHeight="true" outlineLevel="0" collapsed="false">
      <c r="A15" s="23" t="s">
        <v>157</v>
      </c>
      <c r="B15" s="28" t="n">
        <f aca="false">'Pro Forma'!M11/Assumptions!B57</f>
        <v>56570781.9978665</v>
      </c>
    </row>
    <row r="16" customFormat="false" ht="15" hidden="false" customHeight="true" outlineLevel="0" collapsed="false">
      <c r="A16" s="25" t="s">
        <v>158</v>
      </c>
      <c r="B16" s="26" t="n">
        <f aca="false">B15*(1-Assumptions!B58)</f>
        <v>55439366.3579092</v>
      </c>
    </row>
    <row r="18" customFormat="false" ht="15" hidden="false" customHeight="true" outlineLevel="0" collapsed="false">
      <c r="A18" s="10" t="s">
        <v>159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8"/>
      <c r="B19" s="29" t="s">
        <v>125</v>
      </c>
      <c r="C19" s="29" t="s">
        <v>126</v>
      </c>
      <c r="D19" s="29" t="s">
        <v>127</v>
      </c>
      <c r="E19" s="29" t="s">
        <v>128</v>
      </c>
      <c r="F19" s="29" t="s">
        <v>129</v>
      </c>
      <c r="G19" s="29" t="s">
        <v>130</v>
      </c>
      <c r="H19" s="29" t="s">
        <v>131</v>
      </c>
      <c r="I19" s="29" t="s">
        <v>132</v>
      </c>
      <c r="J19" s="29" t="s">
        <v>133</v>
      </c>
      <c r="K19" s="29" t="s">
        <v>134</v>
      </c>
      <c r="L19" s="29" t="s">
        <v>135</v>
      </c>
      <c r="M19" s="29" t="s">
        <v>136</v>
      </c>
    </row>
    <row r="20" customFormat="false" ht="15" hidden="false" customHeight="true" outlineLevel="0" collapsed="false">
      <c r="A20" s="23" t="s">
        <v>160</v>
      </c>
      <c r="B20" s="28" t="n">
        <f aca="false">-'Dev Budget'!B9</f>
        <v>-16409488</v>
      </c>
      <c r="C20" s="28" t="n">
        <f aca="false">-('Dev Budget'!B28+'Dev Budget'!B40+'Dev Budget'!B43+'Dev Budget'!B48)</f>
        <v>-13649719.9737975</v>
      </c>
      <c r="D20" s="28" t="n">
        <f aca="false">'Pro Forma'!D11</f>
        <v>3022800</v>
      </c>
      <c r="E20" s="28" t="n">
        <f aca="false">'Pro Forma'!E11</f>
        <v>3069942</v>
      </c>
      <c r="F20" s="28" t="n">
        <f aca="false">'Pro Forma'!F11</f>
        <v>3117791.13</v>
      </c>
      <c r="G20" s="28" t="n">
        <f aca="false">'Pro Forma'!G11</f>
        <v>3166357.99695</v>
      </c>
      <c r="H20" s="28" t="n">
        <f aca="false">'Pro Forma'!H11</f>
        <v>3215653.36690425</v>
      </c>
      <c r="I20" s="28" t="n">
        <f aca="false">'Pro Forma'!I11</f>
        <v>3265688.16740781</v>
      </c>
      <c r="J20" s="28" t="n">
        <f aca="false">'Pro Forma'!J11</f>
        <v>3316473.48991893</v>
      </c>
      <c r="K20" s="28" t="n">
        <f aca="false">'Pro Forma'!K11</f>
        <v>3368020.59226771</v>
      </c>
      <c r="L20" s="28" t="n">
        <f aca="false">'Pro Forma'!L11</f>
        <v>3420340.90115173</v>
      </c>
      <c r="M20" s="28" t="n">
        <f aca="false">'Pro Forma'!M11+B16</f>
        <v>58912812.3725782</v>
      </c>
    </row>
    <row r="21" customFormat="false" ht="15" hidden="false" customHeight="true" outlineLevel="0" collapsed="false">
      <c r="A21" s="8" t="s">
        <v>161</v>
      </c>
      <c r="B21" s="30" t="n">
        <f aca="false">IRR(B20:M20)</f>
        <v>0.136518169025245</v>
      </c>
    </row>
    <row r="23" customFormat="false" ht="15" hidden="false" customHeight="true" outlineLevel="0" collapsed="false">
      <c r="A23" s="23" t="s">
        <v>162</v>
      </c>
      <c r="B23" s="28" t="n">
        <f aca="false">-('Dev Budget'!B9-B5*'Dev Budget'!B9/B4)</f>
        <v>-6694941.57671436</v>
      </c>
      <c r="C23" s="28" t="n">
        <f aca="false">-(('Dev Budget'!B28+'Dev Budget'!B40+'Dev Budget'!B43+'Dev Budget'!B48)-B5*(B4-'Dev Budget'!B9)/B4)</f>
        <v>-5568978.00608314</v>
      </c>
      <c r="D23" s="28" t="n">
        <f aca="false">'Pro Forma'!D11-B12</f>
        <v>1822703.0472427</v>
      </c>
      <c r="E23" s="28" t="n">
        <f aca="false">'Pro Forma'!E11-B12</f>
        <v>1869845.0472427</v>
      </c>
      <c r="F23" s="28" t="n">
        <f aca="false">'Pro Forma'!F11-B12</f>
        <v>1917694.1772427</v>
      </c>
      <c r="G23" s="28" t="n">
        <f aca="false">'Pro Forma'!G11-B12</f>
        <v>1966261.0441927</v>
      </c>
      <c r="H23" s="28" t="n">
        <f aca="false">'Pro Forma'!H11-B12</f>
        <v>2015556.41414695</v>
      </c>
      <c r="I23" s="28" t="n">
        <f aca="false">'Pro Forma'!I11-B12</f>
        <v>2065591.21465051</v>
      </c>
      <c r="J23" s="28" t="n">
        <f aca="false">'Pro Forma'!J11-B12</f>
        <v>2116376.53716163</v>
      </c>
      <c r="K23" s="28" t="n">
        <f aca="false">'Pro Forma'!K11-B12</f>
        <v>2167923.63951041</v>
      </c>
      <c r="L23" s="28" t="n">
        <f aca="false">'Pro Forma'!L11-B12</f>
        <v>2220243.94839442</v>
      </c>
      <c r="M23" s="28" t="n">
        <f aca="false">'Pro Forma'!M11-B12+B16-B14</f>
        <v>44824219.319671</v>
      </c>
    </row>
    <row r="24" customFormat="false" ht="15" hidden="false" customHeight="true" outlineLevel="0" collapsed="false">
      <c r="A24" s="8" t="s">
        <v>163</v>
      </c>
      <c r="B24" s="30" t="n">
        <f aca="false">IRR(B23:M23)</f>
        <v>0.217593587048241</v>
      </c>
    </row>
    <row r="25" customFormat="false" ht="15" hidden="false" customHeight="true" outlineLevel="0" collapsed="false">
      <c r="A25" s="8" t="s">
        <v>164</v>
      </c>
      <c r="B25" s="33" t="n">
        <f aca="false">(SUM(D23:M23))/-SUM(B23:C23)</f>
        <v>5.13591221503166</v>
      </c>
    </row>
    <row r="27" customFormat="false" ht="15" hidden="false" customHeight="true" outlineLevel="0" collapsed="false">
      <c r="A27" s="3" t="s">
        <v>165</v>
      </c>
    </row>
    <row r="29" customFormat="false" ht="15" hidden="false" customHeight="false" outlineLevel="0" collapsed="false">
      <c r="A29" s="34" t="s">
        <v>166</v>
      </c>
      <c r="B29" s="35"/>
      <c r="C29" s="35"/>
      <c r="D29" s="35"/>
      <c r="E29" s="35"/>
      <c r="F29" s="35"/>
      <c r="G29" s="35"/>
    </row>
    <row r="30" customFormat="false" ht="15" hidden="false" customHeight="false" outlineLevel="0" collapsed="false">
      <c r="A30" s="36" t="s">
        <v>167</v>
      </c>
    </row>
    <row r="31" customFormat="false" ht="15" hidden="false" customHeight="false" outlineLevel="0" collapsed="false">
      <c r="A31" s="37" t="s">
        <v>168</v>
      </c>
      <c r="B31" s="38" t="n">
        <v>0.055</v>
      </c>
      <c r="C31" s="38" t="n">
        <v>0.06</v>
      </c>
      <c r="D31" s="38" t="n">
        <v>0.0614</v>
      </c>
      <c r="E31" s="38" t="n">
        <v>0.065</v>
      </c>
      <c r="F31" s="38" t="n">
        <v>0.07</v>
      </c>
      <c r="G31" s="38" t="n">
        <v>0.075</v>
      </c>
    </row>
    <row r="32" customFormat="false" ht="15" hidden="false" customHeight="false" outlineLevel="0" collapsed="false">
      <c r="A32" s="39" t="n">
        <v>0.05</v>
      </c>
      <c r="B32" s="40" t="n">
        <v>0.24238382382921</v>
      </c>
      <c r="C32" s="40" t="n">
        <v>0.234340708271719</v>
      </c>
      <c r="D32" s="40" t="n">
        <v>0.232226990511311</v>
      </c>
      <c r="E32" s="40" t="n">
        <v>0.227038414796478</v>
      </c>
      <c r="F32" s="40" t="n">
        <v>0.220359607693074</v>
      </c>
      <c r="G32" s="40" t="n">
        <v>0.21421225263795</v>
      </c>
    </row>
    <row r="33" customFormat="false" ht="15" hidden="false" customHeight="false" outlineLevel="0" collapsed="false">
      <c r="A33" s="39" t="n">
        <v>0.1</v>
      </c>
      <c r="B33" s="40" t="n">
        <v>0.228745407118535</v>
      </c>
      <c r="C33" s="40" t="n">
        <v>0.220472431949077</v>
      </c>
      <c r="D33" s="40" t="n">
        <v>0.218295151166066</v>
      </c>
      <c r="E33" s="40" t="n">
        <v>0.212944627062854</v>
      </c>
      <c r="F33" s="40" t="n">
        <v>0.206044251103398</v>
      </c>
      <c r="G33" s="41" t="n">
        <v>0.199678914759715</v>
      </c>
    </row>
    <row r="34" customFormat="false" ht="15" hidden="false" customHeight="false" outlineLevel="0" collapsed="false">
      <c r="A34" s="39" t="n">
        <v>0.15</v>
      </c>
      <c r="B34" s="40" t="n">
        <v>0.214487731005963</v>
      </c>
      <c r="C34" s="40" t="n">
        <v>0.205960867445723</v>
      </c>
      <c r="D34" s="40" t="n">
        <v>0.203713139098432</v>
      </c>
      <c r="E34" s="41" t="n">
        <v>0.198182653689137</v>
      </c>
      <c r="F34" s="41" t="n">
        <v>0.191034958610164</v>
      </c>
      <c r="G34" s="41" t="n">
        <v>0.184425047629612</v>
      </c>
    </row>
    <row r="35" customFormat="false" ht="15" hidden="false" customHeight="false" outlineLevel="0" collapsed="false">
      <c r="A35" s="39" t="n">
        <v>0.2</v>
      </c>
      <c r="B35" s="41" t="n">
        <v>0.199508236988392</v>
      </c>
      <c r="C35" s="41" t="n">
        <v>0.19069702479361</v>
      </c>
      <c r="D35" s="41" t="n">
        <v>0.188370096507654</v>
      </c>
      <c r="E35" s="41" t="n">
        <v>0.18263669513744</v>
      </c>
      <c r="F35" s="41" t="n">
        <v>0.175208725384836</v>
      </c>
      <c r="G35" s="41" t="n">
        <v>0.168320026563497</v>
      </c>
    </row>
    <row r="37" customFormat="false" ht="15" hidden="false" customHeight="false" outlineLevel="0" collapsed="false">
      <c r="A37" s="36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2026-07-20T18:25:52Z</dcterms:created>
  <dc:creator>openpyxl</dc:creator>
  <dc:description/>
  <dc:language>en-US</dc:language>
  <cp:lastModifiedBy/>
  <dcterms:modified xsi:type="dcterms:W3CDTF">2026-07-20T18:27:03Z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